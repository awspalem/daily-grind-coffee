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Unit Economics" sheetId="2" state="visible" r:id="rId4"/>
    <sheet name="Breakeven" sheetId="3" state="visible" r:id="rId5"/>
    <sheet name="Sensitivity" sheetId="4" state="visible" r:id="rId6"/>
    <sheet name="Capacity vs Demand" sheetId="5" state="visible" r:id="rId7"/>
    <sheet name="Roaster Pricing (India)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<sst xmlns="http://schemas.openxmlformats.org/spreadsheetml/2006/main" count="222" uniqueCount="177">
  <si>
    <t xml:space="preserve">Small-Batch Coffee Roasting — Assumptions</t>
  </si>
  <si>
    <t xml:space="preserve">Yellow cells = your inputs. Change these; every other tab recalculates automatically.</t>
  </si>
  <si>
    <t xml:space="preserve">1. Product, Packaging &amp; Green Bean Sourcing</t>
  </si>
  <si>
    <t xml:space="preserve">Item</t>
  </si>
  <si>
    <t xml:space="preserve">Value</t>
  </si>
  <si>
    <t xml:space="preserve">Unit</t>
  </si>
  <si>
    <t xml:space="preserve">Notes</t>
  </si>
  <si>
    <t xml:space="preserve">Standard bag size</t>
  </si>
  <si>
    <t xml:space="preserve">grams</t>
  </si>
  <si>
    <t xml:space="preserve">Most home-run specialty roasters standardize on 250g retail bags</t>
  </si>
  <si>
    <t xml:space="preserve">Green bean cost (FOB / farm-gate)</t>
  </si>
  <si>
    <t xml:space="preserve">₹/kg</t>
  </si>
  <si>
    <t xml:space="preserve">PLACEHOLDER — your actual origin/estate/importer quote</t>
  </si>
  <si>
    <t xml:space="preserve">Freight, customs duty &amp; sourcing logistics</t>
  </si>
  <si>
    <t xml:space="preserve">Landed-cost add-on: inbound freight, import duty (if importing), local transport to your apartment</t>
  </si>
  <si>
    <t xml:space="preserve">Roast loss (weight lost while roasting)</t>
  </si>
  <si>
    <t xml:space="preserve">%</t>
  </si>
  <si>
    <t xml:space="preserve">Typical range 12-18% for light-medium roast; higher for dark roast</t>
  </si>
  <si>
    <t xml:space="preserve">Packaging cost (pouch + valve + label)</t>
  </si>
  <si>
    <t xml:space="preserve">₹/bag</t>
  </si>
  <si>
    <t xml:space="preserve">Kraft pouch with degassing valve + printed label, small-batch pricing</t>
  </si>
  <si>
    <t xml:space="preserve">Sealing/consumables (tape, stickers, tags)</t>
  </si>
  <si>
    <t xml:space="preserve">Small per-unit miscellaneous cost</t>
  </si>
  <si>
    <t xml:space="preserve">2. Selling Price &amp; Channel</t>
  </si>
  <si>
    <t xml:space="preserve">Retail selling price per bag</t>
  </si>
  <si>
    <t xml:space="preserve">PLACEHOLDER — street price for specialty single-origin 250g; set to your positioning</t>
  </si>
  <si>
    <t xml:space="preserve">Blended platform/marketplace commission</t>
  </si>
  <si>
    <t xml:space="preserve">Weighted avg across own site, Instagram/WhatsApp DTC, and marketplaces</t>
  </si>
  <si>
    <t xml:space="preserve">Payment gateway fee</t>
  </si>
  <si>
    <t xml:space="preserve">Razorpay/PayU etc., applied on realised price</t>
  </si>
  <si>
    <t xml:space="preserve">Shipping cost per bag (you pay courier)</t>
  </si>
  <si>
    <t xml:space="preserve">Set to 0 if fully passed through to customer</t>
  </si>
  <si>
    <t xml:space="preserve">Shipping charged to customer per bag</t>
  </si>
  <si>
    <t xml:space="preserve">Set equal to cost if you charge shipping at par</t>
  </si>
  <si>
    <t xml:space="preserve">3. Equipment &amp; Setup (One-Time)</t>
  </si>
  <si>
    <t xml:space="preserve">Cost (₹)</t>
  </si>
  <si>
    <t xml:space="preserve">Useful Life (yrs)</t>
  </si>
  <si>
    <t xml:space="preserve">Monthly Depreciation (₹)</t>
  </si>
  <si>
    <t xml:space="preserve">Mini-batch roaster (1-2 kg batch capacity)</t>
  </si>
  <si>
    <t xml:space="preserve">Other equipment (weighing scale, sealer, moisture meter, storage bins, cupping gear)</t>
  </si>
  <si>
    <t xml:space="preserve">Total monthly depreciation</t>
  </si>
  <si>
    <t xml:space="preserve">Depreciation spreads your one-time roaster/equipment spend across its useful life so unit economics reflect the real monthly cost of owning it, not just cash-in-hand.</t>
  </si>
  <si>
    <t xml:space="preserve">4. Fixed / Overhead Costs (Monthly)</t>
  </si>
  <si>
    <t xml:space="preserve">Owner's salary draw</t>
  </si>
  <si>
    <t xml:space="preserve">₹/mo</t>
  </si>
  <si>
    <t xml:space="preserve">Equals ₹12L / 12</t>
  </si>
  <si>
    <t xml:space="preserve">Business development spend</t>
  </si>
  <si>
    <t xml:space="preserve">Equals ₹2L / 12 — marketing, samples-for-customers, travel, cuppings</t>
  </si>
  <si>
    <t xml:space="preserve">Green bean sourcing overhead (origin trips, sample orders, courier for green sample lots)</t>
  </si>
  <si>
    <t xml:space="preserve">Separate from freight/duty in Section 1, which sits inside COGS — this is exploratory sourcing spend, not tied to a specific batch</t>
  </si>
  <si>
    <t xml:space="preserve">Roaster fuel/electricity (incremental)</t>
  </si>
  <si>
    <t xml:space="preserve">Gas or electric roaster running cost on top of normal apartment bill</t>
  </si>
  <si>
    <t xml:space="preserve">Packaging/design tooling amortised</t>
  </si>
  <si>
    <t xml:space="preserve">Label printing setup, die-cuts etc., spread monthly</t>
  </si>
  <si>
    <t xml:space="preserve">Software/subscriptions</t>
  </si>
  <si>
    <t xml:space="preserve">Website, invoicing, inventory tools</t>
  </si>
  <si>
    <t xml:space="preserve">Misc/contingency</t>
  </si>
  <si>
    <t xml:space="preserve">Buffer for small leakages running ops out of an apartment</t>
  </si>
  <si>
    <t xml:space="preserve">Equipment depreciation (roaster + other gear)</t>
  </si>
  <si>
    <t xml:space="preserve">Linked from Section 3 — the monthly cost of owning your roaster</t>
  </si>
  <si>
    <t xml:space="preserve">Total Fixed Cost / month</t>
  </si>
  <si>
    <t xml:space="preserve">Total Fixed Cost / year</t>
  </si>
  <si>
    <t xml:space="preserve">Unit Economics — Per 250g Bag</t>
  </si>
  <si>
    <t xml:space="preserve">All figures flow from Assumptions tab. Nothing here is hardcoded.</t>
  </si>
  <si>
    <t xml:space="preserve">Revenue Realisation</t>
  </si>
  <si>
    <t xml:space="preserve">₹ / bag</t>
  </si>
  <si>
    <t xml:space="preserve">Retail selling price</t>
  </si>
  <si>
    <t xml:space="preserve">Less: Platform/marketplace commission</t>
  </si>
  <si>
    <t xml:space="preserve">Less: Payment gateway fee</t>
  </si>
  <si>
    <t xml:space="preserve">Add: Shipping collected from customer</t>
  </si>
  <si>
    <t xml:space="preserve">Less: Shipping cost paid to courier</t>
  </si>
  <si>
    <t xml:space="preserve">Net Realisation per bag</t>
  </si>
  <si>
    <t xml:space="preserve">Cost of Goods Sold (COGS)</t>
  </si>
  <si>
    <t xml:space="preserve">Green bean input required (accounting for roast loss)</t>
  </si>
  <si>
    <t xml:space="preserve">Landed green bean cost per bag (bean + freight/duty)</t>
  </si>
  <si>
    <t xml:space="preserve">Packaging cost (pouch+valve+label)</t>
  </si>
  <si>
    <t xml:space="preserve">Sealing/consumables</t>
  </si>
  <si>
    <t xml:space="preserve">Total COGS per bag</t>
  </si>
  <si>
    <t xml:space="preserve">Contribution / Gross Profit</t>
  </si>
  <si>
    <t xml:space="preserve">Net Realisation</t>
  </si>
  <si>
    <t xml:space="preserve">Less: Total COGS</t>
  </si>
  <si>
    <t xml:space="preserve">Gross profit per bag</t>
  </si>
  <si>
    <t xml:space="preserve">Gross margin %</t>
  </si>
  <si>
    <t xml:space="preserve">Gross profit per kg roasted coffee sold</t>
  </si>
  <si>
    <t xml:space="preserve">Note: this is gross profit before fixed overhead (salary, biz-dev, sourcing trips, equipment depreciation) — see 'Breakeven' tab for the revenue you need to cover those.</t>
  </si>
  <si>
    <t xml:space="preserve">Breakeven — Volume &amp; Revenue You Need to Do</t>
  </si>
  <si>
    <t xml:space="preserve">Answers: how much coffee do I need to sell to cover my ₹12L salary + ₹2L biz-dev draw, plus sourcing and roaster ownership costs?</t>
  </si>
  <si>
    <t xml:space="preserve">Fixed Cost To Cover</t>
  </si>
  <si>
    <t xml:space="preserve">Monthly</t>
  </si>
  <si>
    <t xml:space="preserve">Annual</t>
  </si>
  <si>
    <t xml:space="preserve">Green bean sourcing overhead (trips, samples)</t>
  </si>
  <si>
    <t xml:space="preserve">Other overhead (fuel, tooling, software, misc)</t>
  </si>
  <si>
    <t xml:space="preserve">Total Fixed Cost to Cover</t>
  </si>
  <si>
    <t xml:space="preserve">Breakeven Calculation</t>
  </si>
  <si>
    <t xml:space="preserve">Gross profit per bag (from Unit Economics)</t>
  </si>
  <si>
    <t xml:space="preserve">Bags/month to break even</t>
  </si>
  <si>
    <t xml:space="preserve">Bags/year to break even</t>
  </si>
  <si>
    <t xml:space="preserve">Kg/month to break even</t>
  </si>
  <si>
    <t xml:space="preserve">Kg/year to break even</t>
  </si>
  <si>
    <t xml:space="preserve">Gross Revenue/month to break even (at listed price, pre-fees)</t>
  </si>
  <si>
    <t xml:space="preserve">Gross Revenue/year to break even</t>
  </si>
  <si>
    <t xml:space="preserve">≈ per day (26 working days/month)</t>
  </si>
  <si>
    <t xml:space="preserve">≈ per week</t>
  </si>
  <si>
    <t xml:space="preserve">This is the breakeven point — revenue that exactly covers your ₹14L/yr draw plus sourcing overhead and roaster depreciation. It assumes zero re-investment, taxes, or buffer for bad batches/returns; treat it as a floor, not a target.</t>
  </si>
  <si>
    <t xml:space="preserve">Sensitivity — Annual Revenue Needed at Different Prices &amp; Margins</t>
  </si>
  <si>
    <t xml:space="preserve">Shows how the annual revenue target moves if your selling price or gross margin differs from the base case on the Assumptions tab.</t>
  </si>
  <si>
    <t xml:space="preserve">Base case gross margin (from Unit Economics):</t>
  </si>
  <si>
    <t xml:space="preserve">Base case selling price/bag (from Assumptions):</t>
  </si>
  <si>
    <t xml:space="preserve">Total annual fixed cost to cover:</t>
  </si>
  <si>
    <t xml:space="preserve">Annual Revenue Needed (₹) — by Price (rows) x Gross Margin (cols)</t>
  </si>
  <si>
    <t xml:space="preserve">Price / Bag \ Margin</t>
  </si>
  <si>
    <t xml:space="preserve">35%</t>
  </si>
  <si>
    <t xml:space="preserve">40%</t>
  </si>
  <si>
    <t xml:space="preserve">45%</t>
  </si>
  <si>
    <t xml:space="preserve">50%</t>
  </si>
  <si>
    <t xml:space="preserve">55%</t>
  </si>
  <si>
    <t xml:space="preserve">60%</t>
  </si>
  <si>
    <t xml:space="preserve">Note: this table shows total annual revenue needed regardless of bag price (revenue = fixed cost / margin) — price only matters for converting that revenue into a unit count. Use the 'Bags Needed' table below for that.</t>
  </si>
  <si>
    <t xml:space="preserve">Bags/Year Needed — by Price (rows) x Gross Margin (cols)</t>
  </si>
  <si>
    <t xml:space="preserve">Capacity vs Demand — Can Your Roaster Actually Hit the Target?</t>
  </si>
  <si>
    <t xml:space="preserve">Breakeven tells you what revenue you need. This tab checks whether one person, one roaster, working out of an apartment, can physically produce it.</t>
  </si>
  <si>
    <t xml:space="preserve">1. Roasting Operation Assumptions (edit the yellow cells)</t>
  </si>
  <si>
    <t xml:space="preserve">Roast cycle time per batch (roast + cool + clean + bag)</t>
  </si>
  <si>
    <t xml:space="preserve">minutes</t>
  </si>
  <si>
    <t xml:space="preserve">PLACEHOLDER — includes changeover, not just roast time</t>
  </si>
  <si>
    <t xml:space="preserve">Hours/day you can dedicate to roasting</t>
  </si>
  <si>
    <t xml:space="preserve">hours</t>
  </si>
  <si>
    <t xml:space="preserve">Solo apartment operation — remaining hours go to sourcing, packing, sales, shipping, admin</t>
  </si>
  <si>
    <t xml:space="preserve">Working days/month</t>
  </si>
  <si>
    <t xml:space="preserve">days</t>
  </si>
  <si>
    <t xml:space="preserve">Leaves room for sourcing trips, rest, order backlog</t>
  </si>
  <si>
    <t xml:space="preserve">Max batches/day at these hours</t>
  </si>
  <si>
    <t xml:space="preserve">2. Output Capacity by Roaster Batch Size</t>
  </si>
  <si>
    <t xml:space="preserve">Roaster Batch Size
(kg green/batch)</t>
  </si>
  <si>
    <t xml:space="preserve">Batches/Day</t>
  </si>
  <si>
    <t xml:space="preserve">Roasted kg/Day</t>
  </si>
  <si>
    <t xml:space="preserve">Roasted kg/Month</t>
  </si>
  <si>
    <t xml:space="preserve">Roasted kg/Year</t>
  </si>
  <si>
    <t xml:space="preserve">Bags/Year (250g)</t>
  </si>
  <si>
    <t xml:space="preserve">Revenue Capacity/Year</t>
  </si>
  <si>
    <t xml:space="preserve">Row for 1.5kg ≈ your current mini-batch roaster from the Assumptions tab. Batches/day is capped by your available hours, not bean weight — a bigger roaster produces more per batch at the same labour cost.</t>
  </si>
  <si>
    <t xml:space="preserve">3. Capacity vs. What You Need to Hit</t>
  </si>
  <si>
    <t xml:space="preserve">Milestone</t>
  </si>
  <si>
    <t xml:space="preserve">Kg/Year Needed</t>
  </si>
  <si>
    <t xml:space="preserve">Smallest Roaster That Clears It</t>
  </si>
  <si>
    <t xml:space="preserve">Breakeven (covers ₹12L salary + ₹2L biz-dev + overhead)</t>
  </si>
  <si>
    <t xml:space="preserve">Investor-ready range — low end (1.5x breakeven)</t>
  </si>
  <si>
    <t xml:space="preserve">Investor-ready range — high end (2x breakeven)</t>
  </si>
  <si>
    <t xml:space="preserve">Read this against Section 2: find the smallest roaster batch size whose 'Roasted kg/Year' clears each row above. That's the minimum equipment upgrade the numbers actually require — the rest of any capex ask (helper, packing line, second roaster) is about margin of safety and growth runway, not baseline survival.</t>
  </si>
  <si>
    <t xml:space="preserve">Small-Batch Coffee Roaster Pricing — India Market</t>
  </si>
  <si>
    <t xml:space="preserve">Pulled from live supplier listings (IndiaMART/TradeIndia) in Aug 2026. B2B listed prices on these platforms are often starting points for negotiation and usually exclude GST (typically 18% extra) and freight/installation — treat these as directional, not final quotes. Get 2-3 live quotes before committing capex.</t>
  </si>
  <si>
    <t xml:space="preserve">Price by Batch Capacity</t>
  </si>
  <si>
    <t xml:space="preserve">Batch Capacity</t>
  </si>
  <si>
    <t xml:space="preserve">Price — Low</t>
  </si>
  <si>
    <t xml:space="preserve">Price — High</t>
  </si>
  <si>
    <t xml:space="preserve">Example / Model</t>
  </si>
  <si>
    <t xml:space="preserve">Source Notes</t>
  </si>
  <si>
    <t xml:space="preserve">0.1 – 0.5 kg
(sample/lab/hobby roaster)</t>
  </si>
  <si>
    <t xml:space="preserve">Lab-model stainless steel sample roaster</t>
  </si>
  <si>
    <t xml:space="preserve">Pilotsmith India (Coimbatore) lab roaster listed ~₹62,000; hobby/sample models generally ₹60k-1L</t>
  </si>
  <si>
    <t xml:space="preserve">1 kg
(specialty imported)</t>
  </si>
  <si>
    <t xml:space="preserve">Aillio Bullet R1 V2 (induction, Artisan-software compatible)</t>
  </si>
  <si>
    <t xml:space="preserve">Naru Kitchen Equipment (Mumbai) listing ₹3,99,996 + 18% GST extra ≈ ₹4.7L landed</t>
  </si>
  <si>
    <t xml:space="preserve">1.5 – 2 kg
(Indian-fabricated small batch)</t>
  </si>
  <si>
    <t xml:space="preserve">Domestic gas/electric drum roasters, semi-automatic</t>
  </si>
  <si>
    <t xml:space="preserve">Estimated from adjacent capacity bands (3kg/5kg domestic units below) — few direct 1.5-2kg listings found; get a live quote from Aatomize/Top Grains/local fabricators</t>
  </si>
  <si>
    <t xml:space="preserve">3 kg
(small roastery)</t>
  </si>
  <si>
    <t xml:space="preserve">Aatomize AARoasta ARST-3 (gas, Artisan-compatible, WiFi)</t>
  </si>
  <si>
    <t xml:space="preserve">Aatomize (Rajkot) listing ₹5,94,000 on TradeIndia for the full-featured gas model; simpler domestic 3kg units commonly quoted lower — always negotiate/compare</t>
  </si>
  <si>
    <t xml:space="preserve">5 kg
(growing roastery)</t>
  </si>
  <si>
    <t xml:space="preserve">RPM Automation 5-25kg gas roaster (low end) vs Aatomize 5kg Commercial Gas (high end)</t>
  </si>
  <si>
    <t xml:space="preserve">RPM Automation (Coimbatore) ₹2,15,000; Aatomize (Rajkot) ₹7,42,878 — wide spread reflects automation level and build quality</t>
  </si>
  <si>
    <t xml:space="preserve">10 kg+
(scaling/wholesale)</t>
  </si>
  <si>
    <t xml:space="preserve">Top Grains International 10-100kg (low end) vs Aatomize Industrial roaster (high end)</t>
  </si>
  <si>
    <t xml:space="preserve">Top Grains International (Hassan) ₹1,95,000; Aatomize Industrial listing ₹9,58,986 — capacity range and automation drive the gap</t>
  </si>
  <si>
    <t xml:space="preserve">What This Means for Your Capex Line</t>
  </si>
  <si>
    <t xml:space="preserve">The Capacity vs Demand tab shows you need at least a 3kg roaster to clear breakeven, and closer to 5kg to sit comfortably in the investor-ready range. Realistic budget for that jump: roughly ₹2.5L-6L for a capable 3kg unit, or ₹2.2L-7.5L for 5kg, depending on brand and automation. The Assumptions tab currently models a ₹1,75,000 roaster at 1.5kg — update that cell (Assumptions!B24) once you've picked a specific model, since it flows through to your monthly depreciation and full breakeven math.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</si>
</sst>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₹#,##0.00"/>
    <numFmt numFmtId="166" formatCode="0.0%"/>
    <numFmt numFmtId="167" formatCode="\₹#,##0"/>
    <numFmt numFmtId="168" formatCode="0.000&quot; kg&quot;"/>
    <numFmt numFmtId="169" formatCode="#,##0&quot; bags&quot;"/>
    <numFmt numFmtId="170" formatCode="#,##0.0&quot; kg&quot;"/>
    <numFmt numFmtId="171" formatCode="0.0&quot; bags/day&quot;"/>
    <numFmt numFmtId="172" formatCode="0.0&quot; bags/week&quot;"/>
    <numFmt numFmtId="173" formatCode="0&quot; batches&quot;"/>
    <numFmt numFmtId="174" formatCode="0.0&quot; kg&quot;"/>
    <numFmt numFmtId="175" formatCode="0.00&quot; kg&quot;"/>
    <numFmt numFmtId="176" formatCode="#,##0&quot; kg&quot;"/>
    <numFmt numFmtId="177" formatCode="\₹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44444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B2A20"/>
        <bgColor rgb="FF444444"/>
      </patternFill>
    </fill>
    <fill>
      <patternFill patternType="solid">
        <fgColor rgb="FFEFE6DE"/>
        <bgColor rgb="FFE8F0E8"/>
      </patternFill>
    </fill>
    <fill>
      <patternFill patternType="solid">
        <fgColor rgb="FF6F4E37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E8F0E8"/>
        <bgColor rgb="FFEFE6DE"/>
      </patternFill>
    </fill>
    <fill>
      <patternFill patternType="solid">
        <fgColor rgb="FFFFF2CC"/>
        <bgColor rgb="FFEFE6D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6F4E37"/>
      <rgbColor rgb="FFFFF2CC"/>
      <rgbColor rgb="FFE8F0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FE6D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444444"/>
      <rgbColor rgb="FF993300"/>
      <rgbColor rgb="FF993366"/>
      <rgbColor rgb="FF333399"/>
      <rgbColor rgb="FF3B2A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48"/>
    <col collapsed="false" customWidth="true" hidden="false" outlineLevel="0" max="5" min="5" style="1" width="4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</row>
    <row r="3" customFormat="false" ht="15" hidden="false" customHeight="true" outlineLevel="0" collapsed="false">
      <c r="A3" s="3" t="s">
        <v>1</v>
      </c>
    </row>
    <row r="5" customFormat="false" ht="15" hidden="false" customHeight="true" outlineLevel="0" collapsed="false">
      <c r="A5" s="4" t="s">
        <v>2</v>
      </c>
      <c r="B5" s="4"/>
      <c r="C5" s="4"/>
      <c r="D5" s="4"/>
      <c r="E5" s="4"/>
    </row>
    <row r="6" customFormat="false" ht="15" hidden="false" customHeight="true" outlineLevel="0" collapsed="false">
      <c r="A6" s="5" t="s">
        <v>3</v>
      </c>
      <c r="B6" s="5" t="s">
        <v>4</v>
      </c>
      <c r="C6" s="5" t="s">
        <v>5</v>
      </c>
      <c r="D6" s="5" t="s">
        <v>6</v>
      </c>
    </row>
    <row r="7" customFormat="false" ht="15" hidden="false" customHeight="true" outlineLevel="0" collapsed="false">
      <c r="A7" s="6" t="s">
        <v>7</v>
      </c>
      <c r="B7" s="7" t="n">
        <v>250</v>
      </c>
      <c r="C7" s="6" t="s">
        <v>8</v>
      </c>
      <c r="D7" s="3" t="s">
        <v>9</v>
      </c>
    </row>
    <row r="8" customFormat="false" ht="15" hidden="false" customHeight="true" outlineLevel="0" collapsed="false">
      <c r="A8" s="6" t="s">
        <v>10</v>
      </c>
      <c r="B8" s="8" t="n">
        <v>550</v>
      </c>
      <c r="C8" s="6" t="s">
        <v>11</v>
      </c>
      <c r="D8" s="3" t="s">
        <v>12</v>
      </c>
    </row>
    <row r="9" customFormat="false" ht="15" hidden="false" customHeight="true" outlineLevel="0" collapsed="false">
      <c r="A9" s="6" t="s">
        <v>13</v>
      </c>
      <c r="B9" s="8" t="n">
        <v>60</v>
      </c>
      <c r="C9" s="6" t="s">
        <v>11</v>
      </c>
      <c r="D9" s="3" t="s">
        <v>14</v>
      </c>
    </row>
    <row r="10" customFormat="false" ht="15" hidden="false" customHeight="true" outlineLevel="0" collapsed="false">
      <c r="A10" s="6" t="s">
        <v>15</v>
      </c>
      <c r="B10" s="9" t="n">
        <v>0.15</v>
      </c>
      <c r="C10" s="6" t="s">
        <v>16</v>
      </c>
      <c r="D10" s="3" t="s">
        <v>17</v>
      </c>
    </row>
    <row r="11" customFormat="false" ht="15" hidden="false" customHeight="true" outlineLevel="0" collapsed="false">
      <c r="A11" s="6" t="s">
        <v>18</v>
      </c>
      <c r="B11" s="8" t="n">
        <v>25</v>
      </c>
      <c r="C11" s="6" t="s">
        <v>19</v>
      </c>
      <c r="D11" s="3" t="s">
        <v>20</v>
      </c>
    </row>
    <row r="12" customFormat="false" ht="15" hidden="false" customHeight="true" outlineLevel="0" collapsed="false">
      <c r="A12" s="6" t="s">
        <v>21</v>
      </c>
      <c r="B12" s="8" t="n">
        <v>5</v>
      </c>
      <c r="C12" s="6" t="s">
        <v>19</v>
      </c>
      <c r="D12" s="3" t="s">
        <v>22</v>
      </c>
    </row>
    <row r="14" customFormat="false" ht="15" hidden="false" customHeight="true" outlineLevel="0" collapsed="false">
      <c r="A14" s="4" t="s">
        <v>23</v>
      </c>
      <c r="B14" s="4"/>
      <c r="C14" s="4"/>
      <c r="D14" s="4"/>
      <c r="E14" s="4"/>
    </row>
    <row r="15" customFormat="false" ht="15" hidden="false" customHeight="true" outlineLevel="0" collapsed="false">
      <c r="A15" s="5" t="s">
        <v>3</v>
      </c>
      <c r="B15" s="5" t="s">
        <v>4</v>
      </c>
      <c r="C15" s="5" t="s">
        <v>5</v>
      </c>
      <c r="D15" s="5" t="s">
        <v>6</v>
      </c>
    </row>
    <row r="16" customFormat="false" ht="15" hidden="false" customHeight="true" outlineLevel="0" collapsed="false">
      <c r="A16" s="6" t="s">
        <v>24</v>
      </c>
      <c r="B16" s="8" t="n">
        <v>450</v>
      </c>
      <c r="C16" s="6" t="s">
        <v>19</v>
      </c>
      <c r="D16" s="3" t="s">
        <v>25</v>
      </c>
    </row>
    <row r="17" customFormat="false" ht="15" hidden="false" customHeight="true" outlineLevel="0" collapsed="false">
      <c r="A17" s="6" t="s">
        <v>26</v>
      </c>
      <c r="B17" s="9" t="n">
        <v>0.15</v>
      </c>
      <c r="C17" s="6" t="s">
        <v>16</v>
      </c>
      <c r="D17" s="3" t="s">
        <v>27</v>
      </c>
    </row>
    <row r="18" customFormat="false" ht="15" hidden="false" customHeight="true" outlineLevel="0" collapsed="false">
      <c r="A18" s="6" t="s">
        <v>28</v>
      </c>
      <c r="B18" s="9" t="n">
        <v>0.02</v>
      </c>
      <c r="C18" s="6" t="s">
        <v>16</v>
      </c>
      <c r="D18" s="3" t="s">
        <v>29</v>
      </c>
    </row>
    <row r="19" customFormat="false" ht="15" hidden="false" customHeight="true" outlineLevel="0" collapsed="false">
      <c r="A19" s="6" t="s">
        <v>30</v>
      </c>
      <c r="B19" s="8" t="n">
        <v>45</v>
      </c>
      <c r="C19" s="6" t="s">
        <v>19</v>
      </c>
      <c r="D19" s="3" t="s">
        <v>31</v>
      </c>
    </row>
    <row r="20" customFormat="false" ht="15" hidden="false" customHeight="true" outlineLevel="0" collapsed="false">
      <c r="A20" s="6" t="s">
        <v>32</v>
      </c>
      <c r="B20" s="8" t="n">
        <v>45</v>
      </c>
      <c r="C20" s="6" t="s">
        <v>19</v>
      </c>
      <c r="D20" s="3" t="s">
        <v>33</v>
      </c>
    </row>
    <row r="22" customFormat="false" ht="15" hidden="false" customHeight="true" outlineLevel="0" collapsed="false">
      <c r="A22" s="4" t="s">
        <v>34</v>
      </c>
      <c r="B22" s="4"/>
      <c r="C22" s="4"/>
      <c r="D22" s="4"/>
      <c r="E22" s="4"/>
    </row>
    <row r="23" customFormat="false" ht="15" hidden="false" customHeight="true" outlineLevel="0" collapsed="false">
      <c r="A23" s="5" t="s">
        <v>3</v>
      </c>
      <c r="B23" s="5" t="s">
        <v>35</v>
      </c>
      <c r="C23" s="5" t="s">
        <v>36</v>
      </c>
      <c r="D23" s="5" t="s">
        <v>37</v>
      </c>
    </row>
    <row r="24" customFormat="false" ht="15" hidden="false" customHeight="true" outlineLevel="0" collapsed="false">
      <c r="A24" s="6" t="s">
        <v>38</v>
      </c>
      <c r="B24" s="10" t="n">
        <v>175000</v>
      </c>
      <c r="C24" s="7" t="n">
        <v>5</v>
      </c>
      <c r="D24" s="11" t="n">
        <f aca="false">B24/(C24*12)</f>
        <v>2916.66666666667</v>
      </c>
      <c r="E24" s="3"/>
    </row>
    <row r="25" customFormat="false" ht="15" hidden="false" customHeight="true" outlineLevel="0" collapsed="false">
      <c r="A25" s="6" t="s">
        <v>39</v>
      </c>
      <c r="B25" s="10" t="n">
        <v>45000</v>
      </c>
      <c r="C25" s="7" t="n">
        <v>5</v>
      </c>
      <c r="D25" s="11" t="n">
        <f aca="false">B25/(C25*12)</f>
        <v>750</v>
      </c>
    </row>
    <row r="26" customFormat="false" ht="15" hidden="false" customHeight="true" outlineLevel="0" collapsed="false">
      <c r="A26" s="12" t="s">
        <v>40</v>
      </c>
      <c r="D26" s="13" t="n">
        <f aca="false">SUM(D24:D25)</f>
        <v>3666.66666666667</v>
      </c>
    </row>
    <row r="27" customFormat="false" ht="15" hidden="false" customHeight="true" outlineLevel="0" collapsed="false">
      <c r="A27" s="3" t="s">
        <v>41</v>
      </c>
    </row>
    <row r="29" customFormat="false" ht="15" hidden="false" customHeight="true" outlineLevel="0" collapsed="false">
      <c r="A29" s="4" t="s">
        <v>42</v>
      </c>
      <c r="B29" s="4"/>
      <c r="C29" s="4"/>
      <c r="D29" s="4"/>
      <c r="E29" s="4"/>
    </row>
    <row r="30" customFormat="false" ht="15" hidden="false" customHeight="true" outlineLevel="0" collapsed="false">
      <c r="A30" s="5" t="s">
        <v>3</v>
      </c>
      <c r="B30" s="5" t="s">
        <v>4</v>
      </c>
      <c r="C30" s="5" t="s">
        <v>5</v>
      </c>
      <c r="D30" s="5" t="s">
        <v>6</v>
      </c>
    </row>
    <row r="31" customFormat="false" ht="15" hidden="false" customHeight="true" outlineLevel="0" collapsed="false">
      <c r="A31" s="6" t="s">
        <v>43</v>
      </c>
      <c r="B31" s="10" t="n">
        <v>100000</v>
      </c>
      <c r="C31" s="6" t="s">
        <v>44</v>
      </c>
      <c r="D31" s="3" t="s">
        <v>45</v>
      </c>
    </row>
    <row r="32" customFormat="false" ht="15" hidden="false" customHeight="true" outlineLevel="0" collapsed="false">
      <c r="A32" s="6" t="s">
        <v>46</v>
      </c>
      <c r="B32" s="10" t="n">
        <v>16667</v>
      </c>
      <c r="C32" s="6" t="s">
        <v>44</v>
      </c>
      <c r="D32" s="3" t="s">
        <v>47</v>
      </c>
    </row>
    <row r="33" customFormat="false" ht="15" hidden="false" customHeight="true" outlineLevel="0" collapsed="false">
      <c r="A33" s="6" t="s">
        <v>48</v>
      </c>
      <c r="B33" s="10" t="n">
        <v>5000</v>
      </c>
      <c r="C33" s="6" t="s">
        <v>44</v>
      </c>
      <c r="D33" s="3" t="s">
        <v>49</v>
      </c>
    </row>
    <row r="34" customFormat="false" ht="15" hidden="false" customHeight="true" outlineLevel="0" collapsed="false">
      <c r="A34" s="6" t="s">
        <v>50</v>
      </c>
      <c r="B34" s="10" t="n">
        <v>4000</v>
      </c>
      <c r="C34" s="6" t="s">
        <v>44</v>
      </c>
      <c r="D34" s="3" t="s">
        <v>51</v>
      </c>
    </row>
    <row r="35" customFormat="false" ht="15" hidden="false" customHeight="true" outlineLevel="0" collapsed="false">
      <c r="A35" s="6" t="s">
        <v>52</v>
      </c>
      <c r="B35" s="10" t="n">
        <v>1500</v>
      </c>
      <c r="C35" s="6" t="s">
        <v>44</v>
      </c>
      <c r="D35" s="3" t="s">
        <v>53</v>
      </c>
    </row>
    <row r="36" customFormat="false" ht="15" hidden="false" customHeight="true" outlineLevel="0" collapsed="false">
      <c r="A36" s="6" t="s">
        <v>54</v>
      </c>
      <c r="B36" s="10" t="n">
        <v>2000</v>
      </c>
      <c r="C36" s="6" t="s">
        <v>44</v>
      </c>
      <c r="D36" s="3" t="s">
        <v>55</v>
      </c>
    </row>
    <row r="37" customFormat="false" ht="15" hidden="false" customHeight="true" outlineLevel="0" collapsed="false">
      <c r="A37" s="6" t="s">
        <v>56</v>
      </c>
      <c r="B37" s="10" t="n">
        <v>3000</v>
      </c>
      <c r="C37" s="6" t="s">
        <v>44</v>
      </c>
      <c r="D37" s="3" t="s">
        <v>57</v>
      </c>
    </row>
    <row r="38" customFormat="false" ht="15" hidden="false" customHeight="true" outlineLevel="0" collapsed="false">
      <c r="A38" s="6" t="s">
        <v>58</v>
      </c>
      <c r="B38" s="11" t="n">
        <f aca="false">D26</f>
        <v>3666.66666666667</v>
      </c>
      <c r="C38" s="6" t="s">
        <v>44</v>
      </c>
      <c r="D38" s="3" t="s">
        <v>59</v>
      </c>
    </row>
    <row r="40" customFormat="false" ht="15" hidden="false" customHeight="true" outlineLevel="0" collapsed="false">
      <c r="A40" s="12" t="s">
        <v>60</v>
      </c>
      <c r="B40" s="13" t="n">
        <f aca="false">SUM(B31:B38)</f>
        <v>135833.666666667</v>
      </c>
    </row>
    <row r="41" customFormat="false" ht="15" hidden="false" customHeight="true" outlineLevel="0" collapsed="false">
      <c r="A41" s="12" t="s">
        <v>61</v>
      </c>
      <c r="B41" s="13" t="n">
        <f aca="false">B40*12</f>
        <v>1630004</v>
      </c>
    </row>
  </sheetData>
  <mergeCells count="5">
    <mergeCell ref="A1:E1"/>
    <mergeCell ref="A5:E5"/>
    <mergeCell ref="A14:E14"/>
    <mergeCell ref="A22:E22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6"/>
    <col collapsed="false" customWidth="true" hidden="false" outlineLevel="0" max="3" min="3" style="1" width="4"/>
    <col collapsed="false" customWidth="true" hidden="false" outlineLevel="0" max="4" min="4" style="1" width="40"/>
    <col collapsed="false" customWidth="true" hidden="false" outlineLevel="0" max="5" min="5" style="1" width="4"/>
  </cols>
  <sheetData>
    <row r="1" customFormat="false" ht="25.5" hidden="false" customHeight="true" outlineLevel="0" collapsed="false">
      <c r="A1" s="2" t="s">
        <v>62</v>
      </c>
      <c r="B1" s="2"/>
      <c r="C1" s="2"/>
      <c r="D1" s="2"/>
      <c r="E1" s="2"/>
    </row>
    <row r="3" customFormat="false" ht="15" hidden="false" customHeight="true" outlineLevel="0" collapsed="false">
      <c r="A3" s="3" t="s">
        <v>63</v>
      </c>
    </row>
    <row r="5" customFormat="false" ht="15" hidden="false" customHeight="true" outlineLevel="0" collapsed="false">
      <c r="A5" s="4" t="s">
        <v>64</v>
      </c>
      <c r="B5" s="4"/>
      <c r="C5" s="4"/>
      <c r="D5" s="4"/>
      <c r="E5" s="4"/>
    </row>
    <row r="6" customFormat="false" ht="15" hidden="false" customHeight="true" outlineLevel="0" collapsed="false">
      <c r="A6" s="5" t="s">
        <v>3</v>
      </c>
      <c r="B6" s="5" t="s">
        <v>65</v>
      </c>
    </row>
    <row r="7" customFormat="false" ht="15" hidden="false" customHeight="true" outlineLevel="0" collapsed="false">
      <c r="A7" s="6" t="s">
        <v>66</v>
      </c>
      <c r="B7" s="14" t="n">
        <f aca="false">Assumptions!B16</f>
        <v>450</v>
      </c>
    </row>
    <row r="8" customFormat="false" ht="15" hidden="false" customHeight="true" outlineLevel="0" collapsed="false">
      <c r="A8" s="6" t="s">
        <v>67</v>
      </c>
      <c r="B8" s="14" t="n">
        <f aca="false">-Assumptions!B16*Assumptions!B17</f>
        <v>-67.5</v>
      </c>
    </row>
    <row r="9" customFormat="false" ht="15" hidden="false" customHeight="true" outlineLevel="0" collapsed="false">
      <c r="A9" s="6" t="s">
        <v>68</v>
      </c>
      <c r="B9" s="14" t="n">
        <f aca="false">-Assumptions!B16*Assumptions!B18</f>
        <v>-9</v>
      </c>
    </row>
    <row r="10" customFormat="false" ht="15" hidden="false" customHeight="true" outlineLevel="0" collapsed="false">
      <c r="A10" s="6" t="s">
        <v>69</v>
      </c>
      <c r="B10" s="14" t="n">
        <f aca="false">Assumptions!B20</f>
        <v>45</v>
      </c>
    </row>
    <row r="11" customFormat="false" ht="15" hidden="false" customHeight="true" outlineLevel="0" collapsed="false">
      <c r="A11" s="6" t="s">
        <v>70</v>
      </c>
      <c r="B11" s="14" t="n">
        <f aca="false">-Assumptions!B19</f>
        <v>-45</v>
      </c>
    </row>
    <row r="12" customFormat="false" ht="15" hidden="false" customHeight="true" outlineLevel="0" collapsed="false">
      <c r="A12" s="12" t="s">
        <v>71</v>
      </c>
      <c r="B12" s="15" t="n">
        <f aca="false">SUM(B7:B11)</f>
        <v>373.5</v>
      </c>
    </row>
    <row r="14" customFormat="false" ht="15" hidden="false" customHeight="true" outlineLevel="0" collapsed="false">
      <c r="A14" s="4" t="s">
        <v>72</v>
      </c>
      <c r="B14" s="4"/>
      <c r="C14" s="4"/>
      <c r="D14" s="4"/>
      <c r="E14" s="4"/>
    </row>
    <row r="15" customFormat="false" ht="15" hidden="false" customHeight="true" outlineLevel="0" collapsed="false">
      <c r="A15" s="5" t="s">
        <v>3</v>
      </c>
      <c r="B15" s="5" t="s">
        <v>65</v>
      </c>
    </row>
    <row r="16" customFormat="false" ht="15" hidden="false" customHeight="true" outlineLevel="0" collapsed="false">
      <c r="A16" s="6" t="s">
        <v>73</v>
      </c>
      <c r="B16" s="16" t="n">
        <f aca="false">(Assumptions!B7/1000)/(1-Assumptions!B10)</f>
        <v>0.294117647058824</v>
      </c>
    </row>
    <row r="17" customFormat="false" ht="15" hidden="false" customHeight="true" outlineLevel="0" collapsed="false">
      <c r="A17" s="6" t="s">
        <v>74</v>
      </c>
      <c r="B17" s="14" t="n">
        <f aca="false">B16*(Assumptions!B8+Assumptions!B9)</f>
        <v>179.411764705882</v>
      </c>
    </row>
    <row r="18" customFormat="false" ht="15" hidden="false" customHeight="true" outlineLevel="0" collapsed="false">
      <c r="A18" s="6" t="s">
        <v>75</v>
      </c>
      <c r="B18" s="14" t="n">
        <f aca="false">Assumptions!B11</f>
        <v>25</v>
      </c>
    </row>
    <row r="19" customFormat="false" ht="15" hidden="false" customHeight="true" outlineLevel="0" collapsed="false">
      <c r="A19" s="6" t="s">
        <v>76</v>
      </c>
      <c r="B19" s="14" t="n">
        <f aca="false">Assumptions!B12</f>
        <v>5</v>
      </c>
    </row>
    <row r="20" customFormat="false" ht="15" hidden="false" customHeight="true" outlineLevel="0" collapsed="false">
      <c r="A20" s="12" t="s">
        <v>77</v>
      </c>
      <c r="B20" s="15" t="n">
        <f aca="false">SUM(B17:B19)</f>
        <v>209.411764705882</v>
      </c>
    </row>
    <row r="22" customFormat="false" ht="15" hidden="false" customHeight="true" outlineLevel="0" collapsed="false">
      <c r="A22" s="4" t="s">
        <v>78</v>
      </c>
      <c r="B22" s="4"/>
      <c r="C22" s="4"/>
      <c r="D22" s="4"/>
      <c r="E22" s="4"/>
    </row>
    <row r="23" customFormat="false" ht="15" hidden="false" customHeight="true" outlineLevel="0" collapsed="false">
      <c r="A23" s="5" t="s">
        <v>3</v>
      </c>
      <c r="B23" s="5" t="s">
        <v>65</v>
      </c>
    </row>
    <row r="24" customFormat="false" ht="15" hidden="false" customHeight="true" outlineLevel="0" collapsed="false">
      <c r="A24" s="6" t="s">
        <v>79</v>
      </c>
      <c r="B24" s="14" t="n">
        <f aca="false">B12</f>
        <v>373.5</v>
      </c>
    </row>
    <row r="25" customFormat="false" ht="15" hidden="false" customHeight="true" outlineLevel="0" collapsed="false">
      <c r="A25" s="6" t="s">
        <v>80</v>
      </c>
      <c r="B25" s="14" t="n">
        <f aca="false">-B20</f>
        <v>-209.411764705882</v>
      </c>
    </row>
    <row r="26" customFormat="false" ht="15" hidden="false" customHeight="true" outlineLevel="0" collapsed="false">
      <c r="A26" s="12" t="s">
        <v>81</v>
      </c>
      <c r="B26" s="15" t="n">
        <f aca="false">B24+B25</f>
        <v>164.088235294118</v>
      </c>
    </row>
    <row r="27" customFormat="false" ht="15" hidden="false" customHeight="true" outlineLevel="0" collapsed="false">
      <c r="A27" s="12" t="s">
        <v>82</v>
      </c>
      <c r="B27" s="17" t="n">
        <f aca="false">B26/Assumptions!B16</f>
        <v>0.364640522875817</v>
      </c>
    </row>
    <row r="28" customFormat="false" ht="15" hidden="false" customHeight="true" outlineLevel="0" collapsed="false">
      <c r="A28" s="12" t="s">
        <v>83</v>
      </c>
      <c r="B28" s="15" t="n">
        <f aca="false">B26/(Assumptions!B7/1000)</f>
        <v>656.352941176471</v>
      </c>
    </row>
    <row r="30" customFormat="false" ht="15" hidden="false" customHeight="true" outlineLevel="0" collapsed="false">
      <c r="A30" s="3" t="s">
        <v>84</v>
      </c>
    </row>
  </sheetData>
  <mergeCells count="4">
    <mergeCell ref="A1:E1"/>
    <mergeCell ref="A5:E5"/>
    <mergeCell ref="A14:E14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3" min="2" style="1" width="18"/>
    <col collapsed="false" customWidth="true" hidden="false" outlineLevel="0" max="5" min="4" style="1" width="4"/>
  </cols>
  <sheetData>
    <row r="1" customFormat="false" ht="25.5" hidden="false" customHeight="true" outlineLevel="0" collapsed="false">
      <c r="A1" s="2" t="s">
        <v>85</v>
      </c>
      <c r="B1" s="2"/>
      <c r="C1" s="2"/>
      <c r="D1" s="2"/>
      <c r="E1" s="2"/>
    </row>
    <row r="3" customFormat="false" ht="15" hidden="false" customHeight="true" outlineLevel="0" collapsed="false">
      <c r="A3" s="3" t="s">
        <v>86</v>
      </c>
    </row>
    <row r="5" customFormat="false" ht="15" hidden="false" customHeight="true" outlineLevel="0" collapsed="false">
      <c r="A5" s="4" t="s">
        <v>87</v>
      </c>
      <c r="B5" s="4"/>
      <c r="C5" s="4"/>
    </row>
    <row r="6" customFormat="false" ht="15" hidden="false" customHeight="true" outlineLevel="0" collapsed="false">
      <c r="A6" s="5" t="s">
        <v>3</v>
      </c>
      <c r="B6" s="5" t="s">
        <v>88</v>
      </c>
      <c r="C6" s="5" t="s">
        <v>89</v>
      </c>
    </row>
    <row r="7" customFormat="false" ht="15" hidden="false" customHeight="true" outlineLevel="0" collapsed="false">
      <c r="A7" s="6" t="s">
        <v>43</v>
      </c>
      <c r="B7" s="11" t="n">
        <f aca="false">Assumptions!B31</f>
        <v>100000</v>
      </c>
      <c r="C7" s="11" t="n">
        <f aca="false">B7*12</f>
        <v>1200000</v>
      </c>
    </row>
    <row r="8" customFormat="false" ht="15" hidden="false" customHeight="true" outlineLevel="0" collapsed="false">
      <c r="A8" s="6" t="s">
        <v>46</v>
      </c>
      <c r="B8" s="11" t="n">
        <f aca="false">Assumptions!B32</f>
        <v>16667</v>
      </c>
      <c r="C8" s="11" t="n">
        <f aca="false">B8*12</f>
        <v>200004</v>
      </c>
    </row>
    <row r="9" customFormat="false" ht="15" hidden="false" customHeight="true" outlineLevel="0" collapsed="false">
      <c r="A9" s="6" t="s">
        <v>90</v>
      </c>
      <c r="B9" s="11" t="n">
        <f aca="false">Assumptions!B33</f>
        <v>5000</v>
      </c>
      <c r="C9" s="11" t="n">
        <f aca="false">B9*12</f>
        <v>60000</v>
      </c>
    </row>
    <row r="10" customFormat="false" ht="15" hidden="false" customHeight="true" outlineLevel="0" collapsed="false">
      <c r="A10" s="6" t="s">
        <v>58</v>
      </c>
      <c r="B10" s="11" t="n">
        <f aca="false">Assumptions!B38</f>
        <v>3666.66666666667</v>
      </c>
      <c r="C10" s="11" t="n">
        <f aca="false">B10*12</f>
        <v>44000</v>
      </c>
    </row>
    <row r="11" customFormat="false" ht="15" hidden="false" customHeight="true" outlineLevel="0" collapsed="false">
      <c r="A11" s="6" t="s">
        <v>91</v>
      </c>
      <c r="B11" s="11" t="n">
        <f aca="false">SUM(Assumptions!B34:B37)</f>
        <v>10500</v>
      </c>
      <c r="C11" s="11" t="n">
        <f aca="false">B11*12</f>
        <v>126000</v>
      </c>
    </row>
    <row r="12" customFormat="false" ht="15" hidden="false" customHeight="true" outlineLevel="0" collapsed="false">
      <c r="A12" s="12" t="s">
        <v>92</v>
      </c>
      <c r="B12" s="13" t="n">
        <f aca="false">SUM(B7:B11)</f>
        <v>135833.666666667</v>
      </c>
      <c r="C12" s="13" t="n">
        <f aca="false">SUM(C7:C11)</f>
        <v>1630004</v>
      </c>
    </row>
    <row r="14" customFormat="false" ht="15" hidden="false" customHeight="true" outlineLevel="0" collapsed="false">
      <c r="A14" s="4" t="s">
        <v>93</v>
      </c>
      <c r="B14" s="4"/>
      <c r="C14" s="4"/>
    </row>
    <row r="15" customFormat="false" ht="15" hidden="false" customHeight="true" outlineLevel="0" collapsed="false">
      <c r="A15" s="5" t="s">
        <v>3</v>
      </c>
      <c r="B15" s="5" t="s">
        <v>4</v>
      </c>
      <c r="C15" s="5"/>
    </row>
    <row r="16" customFormat="false" ht="15" hidden="false" customHeight="true" outlineLevel="0" collapsed="false">
      <c r="A16" s="6" t="s">
        <v>94</v>
      </c>
      <c r="B16" s="14" t="n">
        <f aca="false">'Unit Economics'!B26</f>
        <v>164.088235294118</v>
      </c>
    </row>
    <row r="17" customFormat="false" ht="15" hidden="false" customHeight="true" outlineLevel="0" collapsed="false">
      <c r="A17" s="6" t="s">
        <v>95</v>
      </c>
      <c r="B17" s="18" t="n">
        <f aca="false">B12/B16</f>
        <v>827.808687339428</v>
      </c>
    </row>
    <row r="18" customFormat="false" ht="15" hidden="false" customHeight="true" outlineLevel="0" collapsed="false">
      <c r="A18" s="6" t="s">
        <v>96</v>
      </c>
      <c r="B18" s="18" t="n">
        <f aca="false">C12/B16</f>
        <v>9933.70424807313</v>
      </c>
    </row>
    <row r="19" customFormat="false" ht="15" hidden="false" customHeight="true" outlineLevel="0" collapsed="false">
      <c r="A19" s="6" t="s">
        <v>97</v>
      </c>
      <c r="B19" s="19" t="n">
        <f aca="false">B17*(Assumptions!B7/1000)</f>
        <v>206.952171834857</v>
      </c>
    </row>
    <row r="20" customFormat="false" ht="15" hidden="false" customHeight="true" outlineLevel="0" collapsed="false">
      <c r="A20" s="6" t="s">
        <v>98</v>
      </c>
      <c r="B20" s="19" t="n">
        <f aca="false">B18*(Assumptions!B7/1000)</f>
        <v>2483.42606201828</v>
      </c>
    </row>
    <row r="21" customFormat="false" ht="15" hidden="false" customHeight="true" outlineLevel="0" collapsed="false">
      <c r="A21" s="6" t="s">
        <v>99</v>
      </c>
      <c r="B21" s="13" t="n">
        <f aca="false">B17*Assumptions!B16</f>
        <v>372513.909302742</v>
      </c>
    </row>
    <row r="22" customFormat="false" ht="15" hidden="false" customHeight="true" outlineLevel="0" collapsed="false">
      <c r="A22" s="6" t="s">
        <v>100</v>
      </c>
      <c r="B22" s="13" t="n">
        <f aca="false">B18*Assumptions!B16</f>
        <v>4470166.91163291</v>
      </c>
    </row>
    <row r="24" customFormat="false" ht="15" hidden="false" customHeight="true" outlineLevel="0" collapsed="false">
      <c r="A24" s="6" t="s">
        <v>101</v>
      </c>
      <c r="B24" s="20" t="n">
        <f aca="false">B17/26</f>
        <v>31.8387956669011</v>
      </c>
    </row>
    <row r="25" customFormat="false" ht="15" hidden="false" customHeight="true" outlineLevel="0" collapsed="false">
      <c r="A25" s="6" t="s">
        <v>102</v>
      </c>
      <c r="B25" s="21" t="n">
        <f aca="false">B17/4.33</f>
        <v>191.179835413263</v>
      </c>
    </row>
    <row r="27" customFormat="false" ht="15" hidden="false" customHeight="true" outlineLevel="0" collapsed="false">
      <c r="A27" s="3" t="s">
        <v>103</v>
      </c>
    </row>
  </sheetData>
  <mergeCells count="3">
    <mergeCell ref="A1:E1"/>
    <mergeCell ref="A5:C5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7" min="2" style="1" width="14"/>
    <col collapsed="false" customWidth="true" hidden="false" outlineLevel="0" max="8" min="8" style="1" width="4"/>
  </cols>
  <sheetData>
    <row r="1" customFormat="false" ht="25.5" hidden="false" customHeight="true" outlineLevel="0" collapsed="false">
      <c r="A1" s="2" t="s">
        <v>104</v>
      </c>
      <c r="B1" s="2"/>
      <c r="C1" s="2"/>
      <c r="D1" s="2"/>
      <c r="E1" s="2"/>
    </row>
    <row r="3" customFormat="false" ht="15" hidden="false" customHeight="true" outlineLevel="0" collapsed="false">
      <c r="A3" s="3" t="s">
        <v>105</v>
      </c>
    </row>
    <row r="5" customFormat="false" ht="15" hidden="false" customHeight="true" outlineLevel="0" collapsed="false">
      <c r="A5" s="12" t="s">
        <v>106</v>
      </c>
      <c r="C5" s="17" t="n">
        <f aca="false">'Unit Economics'!B27</f>
        <v>0.364640522875817</v>
      </c>
    </row>
    <row r="6" customFormat="false" ht="15" hidden="false" customHeight="true" outlineLevel="0" collapsed="false">
      <c r="A6" s="12" t="s">
        <v>107</v>
      </c>
      <c r="C6" s="15" t="n">
        <f aca="false">Assumptions!B16</f>
        <v>450</v>
      </c>
    </row>
    <row r="7" customFormat="false" ht="15" hidden="false" customHeight="true" outlineLevel="0" collapsed="false">
      <c r="A7" s="12" t="s">
        <v>108</v>
      </c>
      <c r="C7" s="13" t="n">
        <f aca="false">Breakeven!C12</f>
        <v>1630004</v>
      </c>
    </row>
    <row r="9" customFormat="false" ht="15" hidden="false" customHeight="true" outlineLevel="0" collapsed="false">
      <c r="A9" s="4" t="s">
        <v>109</v>
      </c>
      <c r="B9" s="4"/>
      <c r="C9" s="4"/>
      <c r="D9" s="4"/>
      <c r="E9" s="4"/>
      <c r="F9" s="4"/>
      <c r="G9" s="4"/>
    </row>
    <row r="10" customFormat="false" ht="15" hidden="false" customHeight="true" outlineLevel="0" collapsed="false">
      <c r="A10" s="5" t="s">
        <v>110</v>
      </c>
      <c r="B10" s="5" t="s">
        <v>111</v>
      </c>
      <c r="C10" s="5" t="s">
        <v>112</v>
      </c>
      <c r="D10" s="5" t="s">
        <v>113</v>
      </c>
      <c r="E10" s="5" t="s">
        <v>114</v>
      </c>
      <c r="F10" s="5" t="s">
        <v>115</v>
      </c>
      <c r="G10" s="5" t="s">
        <v>116</v>
      </c>
    </row>
    <row r="11" customFormat="false" ht="15" hidden="false" customHeight="true" outlineLevel="0" collapsed="false">
      <c r="A11" s="22" t="n">
        <v>350</v>
      </c>
      <c r="B11" s="23" t="n">
        <f aca="false">$C$7/0.35</f>
        <v>4657154.28571429</v>
      </c>
      <c r="C11" s="23" t="n">
        <f aca="false">$C$7/0.4</f>
        <v>4075010</v>
      </c>
      <c r="D11" s="23" t="n">
        <f aca="false">$C$7/0.45</f>
        <v>3622231.11111111</v>
      </c>
      <c r="E11" s="23" t="n">
        <f aca="false">$C$7/0.5</f>
        <v>3260008</v>
      </c>
      <c r="F11" s="23" t="n">
        <f aca="false">$C$7/0.55</f>
        <v>2963643.63636364</v>
      </c>
      <c r="G11" s="23" t="n">
        <f aca="false">$C$7/0.6</f>
        <v>2716673.33333333</v>
      </c>
    </row>
    <row r="12" customFormat="false" ht="15" hidden="false" customHeight="true" outlineLevel="0" collapsed="false">
      <c r="A12" s="22" t="n">
        <v>400</v>
      </c>
      <c r="B12" s="23" t="n">
        <f aca="false">$C$7/0.35</f>
        <v>4657154.28571429</v>
      </c>
      <c r="C12" s="23" t="n">
        <f aca="false">$C$7/0.4</f>
        <v>4075010</v>
      </c>
      <c r="D12" s="23" t="n">
        <f aca="false">$C$7/0.45</f>
        <v>3622231.11111111</v>
      </c>
      <c r="E12" s="23" t="n">
        <f aca="false">$C$7/0.5</f>
        <v>3260008</v>
      </c>
      <c r="F12" s="23" t="n">
        <f aca="false">$C$7/0.55</f>
        <v>2963643.63636364</v>
      </c>
      <c r="G12" s="23" t="n">
        <f aca="false">$C$7/0.6</f>
        <v>2716673.33333333</v>
      </c>
    </row>
    <row r="13" customFormat="false" ht="15" hidden="false" customHeight="true" outlineLevel="0" collapsed="false">
      <c r="A13" s="22" t="n">
        <v>450</v>
      </c>
      <c r="B13" s="23" t="n">
        <f aca="false">$C$7/0.35</f>
        <v>4657154.28571429</v>
      </c>
      <c r="C13" s="23" t="n">
        <f aca="false">$C$7/0.4</f>
        <v>4075010</v>
      </c>
      <c r="D13" s="23" t="n">
        <f aca="false">$C$7/0.45</f>
        <v>3622231.11111111</v>
      </c>
      <c r="E13" s="23" t="n">
        <f aca="false">$C$7/0.5</f>
        <v>3260008</v>
      </c>
      <c r="F13" s="23" t="n">
        <f aca="false">$C$7/0.55</f>
        <v>2963643.63636364</v>
      </c>
      <c r="G13" s="23" t="n">
        <f aca="false">$C$7/0.6</f>
        <v>2716673.33333333</v>
      </c>
    </row>
    <row r="14" customFormat="false" ht="15" hidden="false" customHeight="true" outlineLevel="0" collapsed="false">
      <c r="A14" s="22" t="n">
        <v>500</v>
      </c>
      <c r="B14" s="23" t="n">
        <f aca="false">$C$7/0.35</f>
        <v>4657154.28571429</v>
      </c>
      <c r="C14" s="23" t="n">
        <f aca="false">$C$7/0.4</f>
        <v>4075010</v>
      </c>
      <c r="D14" s="23" t="n">
        <f aca="false">$C$7/0.45</f>
        <v>3622231.11111111</v>
      </c>
      <c r="E14" s="23" t="n">
        <f aca="false">$C$7/0.5</f>
        <v>3260008</v>
      </c>
      <c r="F14" s="23" t="n">
        <f aca="false">$C$7/0.55</f>
        <v>2963643.63636364</v>
      </c>
      <c r="G14" s="23" t="n">
        <f aca="false">$C$7/0.6</f>
        <v>2716673.33333333</v>
      </c>
    </row>
    <row r="15" customFormat="false" ht="15" hidden="false" customHeight="true" outlineLevel="0" collapsed="false">
      <c r="A15" s="22" t="n">
        <v>550</v>
      </c>
      <c r="B15" s="23" t="n">
        <f aca="false">$C$7/0.35</f>
        <v>4657154.28571429</v>
      </c>
      <c r="C15" s="23" t="n">
        <f aca="false">$C$7/0.4</f>
        <v>4075010</v>
      </c>
      <c r="D15" s="23" t="n">
        <f aca="false">$C$7/0.45</f>
        <v>3622231.11111111</v>
      </c>
      <c r="E15" s="23" t="n">
        <f aca="false">$C$7/0.5</f>
        <v>3260008</v>
      </c>
      <c r="F15" s="23" t="n">
        <f aca="false">$C$7/0.55</f>
        <v>2963643.63636364</v>
      </c>
      <c r="G15" s="23" t="n">
        <f aca="false">$C$7/0.6</f>
        <v>2716673.33333333</v>
      </c>
    </row>
    <row r="16" customFormat="false" ht="15" hidden="false" customHeight="true" outlineLevel="0" collapsed="false">
      <c r="A16" s="22" t="n">
        <v>600</v>
      </c>
      <c r="B16" s="23" t="n">
        <f aca="false">$C$7/0.35</f>
        <v>4657154.28571429</v>
      </c>
      <c r="C16" s="23" t="n">
        <f aca="false">$C$7/0.4</f>
        <v>4075010</v>
      </c>
      <c r="D16" s="23" t="n">
        <f aca="false">$C$7/0.45</f>
        <v>3622231.11111111</v>
      </c>
      <c r="E16" s="23" t="n">
        <f aca="false">$C$7/0.5</f>
        <v>3260008</v>
      </c>
      <c r="F16" s="23" t="n">
        <f aca="false">$C$7/0.55</f>
        <v>2963643.63636364</v>
      </c>
      <c r="G16" s="23" t="n">
        <f aca="false">$C$7/0.6</f>
        <v>2716673.33333333</v>
      </c>
    </row>
    <row r="18" customFormat="false" ht="15" hidden="false" customHeight="true" outlineLevel="0" collapsed="false">
      <c r="A18" s="3" t="s">
        <v>117</v>
      </c>
    </row>
    <row r="20" customFormat="false" ht="15" hidden="false" customHeight="true" outlineLevel="0" collapsed="false">
      <c r="A20" s="4" t="s">
        <v>118</v>
      </c>
      <c r="B20" s="4"/>
      <c r="C20" s="4"/>
      <c r="D20" s="4"/>
      <c r="E20" s="4"/>
      <c r="F20" s="4"/>
      <c r="G20" s="4"/>
    </row>
    <row r="21" customFormat="false" ht="15" hidden="false" customHeight="true" outlineLevel="0" collapsed="false">
      <c r="A21" s="5" t="s">
        <v>110</v>
      </c>
      <c r="B21" s="5" t="s">
        <v>111</v>
      </c>
      <c r="C21" s="5" t="s">
        <v>112</v>
      </c>
      <c r="D21" s="5" t="s">
        <v>113</v>
      </c>
      <c r="E21" s="5" t="s">
        <v>114</v>
      </c>
      <c r="F21" s="5" t="s">
        <v>115</v>
      </c>
      <c r="G21" s="5" t="s">
        <v>116</v>
      </c>
    </row>
    <row r="22" customFormat="false" ht="15" hidden="false" customHeight="true" outlineLevel="0" collapsed="false">
      <c r="A22" s="22" t="n">
        <v>350</v>
      </c>
      <c r="B22" s="24" t="n">
        <f aca="false">($C$7/0.35)/350</f>
        <v>13306.1551020408</v>
      </c>
      <c r="C22" s="24" t="n">
        <f aca="false">($C$7/0.4)/350</f>
        <v>11642.8857142857</v>
      </c>
      <c r="D22" s="24" t="n">
        <f aca="false">($C$7/0.45)/350</f>
        <v>10349.2317460317</v>
      </c>
      <c r="E22" s="24" t="n">
        <f aca="false">($C$7/0.5)/350</f>
        <v>9314.30857142857</v>
      </c>
      <c r="F22" s="24" t="n">
        <f aca="false">($C$7/0.55)/350</f>
        <v>8467.55324675325</v>
      </c>
      <c r="G22" s="24" t="n">
        <f aca="false">($C$7/0.6)/350</f>
        <v>7761.92380952381</v>
      </c>
    </row>
    <row r="23" customFormat="false" ht="15" hidden="false" customHeight="true" outlineLevel="0" collapsed="false">
      <c r="A23" s="22" t="n">
        <v>400</v>
      </c>
      <c r="B23" s="24" t="n">
        <f aca="false">($C$7/0.35)/400</f>
        <v>11642.8857142857</v>
      </c>
      <c r="C23" s="24" t="n">
        <f aca="false">($C$7/0.4)/400</f>
        <v>10187.525</v>
      </c>
      <c r="D23" s="24" t="n">
        <f aca="false">($C$7/0.45)/400</f>
        <v>9055.57777777778</v>
      </c>
      <c r="E23" s="24" t="n">
        <f aca="false">($C$7/0.5)/400</f>
        <v>8150.02</v>
      </c>
      <c r="F23" s="24" t="n">
        <f aca="false">($C$7/0.55)/400</f>
        <v>7409.10909090909</v>
      </c>
      <c r="G23" s="24" t="n">
        <f aca="false">($C$7/0.6)/400</f>
        <v>6791.68333333333</v>
      </c>
    </row>
    <row r="24" customFormat="false" ht="15" hidden="false" customHeight="true" outlineLevel="0" collapsed="false">
      <c r="A24" s="22" t="n">
        <v>450</v>
      </c>
      <c r="B24" s="24" t="n">
        <f aca="false">($C$7/0.35)/450</f>
        <v>10349.2317460317</v>
      </c>
      <c r="C24" s="24" t="n">
        <f aca="false">($C$7/0.4)/450</f>
        <v>9055.57777777778</v>
      </c>
      <c r="D24" s="24" t="n">
        <f aca="false">($C$7/0.45)/450</f>
        <v>8049.4024691358</v>
      </c>
      <c r="E24" s="24" t="n">
        <f aca="false">($C$7/0.5)/450</f>
        <v>7244.46222222222</v>
      </c>
      <c r="F24" s="24" t="n">
        <f aca="false">($C$7/0.55)/450</f>
        <v>6585.87474747475</v>
      </c>
      <c r="G24" s="24" t="n">
        <f aca="false">($C$7/0.6)/450</f>
        <v>6037.05185185185</v>
      </c>
    </row>
    <row r="25" customFormat="false" ht="15" hidden="false" customHeight="true" outlineLevel="0" collapsed="false">
      <c r="A25" s="22" t="n">
        <v>500</v>
      </c>
      <c r="B25" s="24" t="n">
        <f aca="false">($C$7/0.35)/500</f>
        <v>9314.30857142857</v>
      </c>
      <c r="C25" s="24" t="n">
        <f aca="false">($C$7/0.4)/500</f>
        <v>8150.02</v>
      </c>
      <c r="D25" s="24" t="n">
        <f aca="false">($C$7/0.45)/500</f>
        <v>7244.46222222222</v>
      </c>
      <c r="E25" s="24" t="n">
        <f aca="false">($C$7/0.5)/500</f>
        <v>6520.016</v>
      </c>
      <c r="F25" s="24" t="n">
        <f aca="false">($C$7/0.55)/500</f>
        <v>5927.28727272727</v>
      </c>
      <c r="G25" s="24" t="n">
        <f aca="false">($C$7/0.6)/500</f>
        <v>5433.34666666667</v>
      </c>
    </row>
    <row r="26" customFormat="false" ht="15" hidden="false" customHeight="true" outlineLevel="0" collapsed="false">
      <c r="A26" s="22" t="n">
        <v>550</v>
      </c>
      <c r="B26" s="24" t="n">
        <f aca="false">($C$7/0.35)/550</f>
        <v>8467.55324675325</v>
      </c>
      <c r="C26" s="24" t="n">
        <f aca="false">($C$7/0.4)/550</f>
        <v>7409.10909090909</v>
      </c>
      <c r="D26" s="24" t="n">
        <f aca="false">($C$7/0.45)/550</f>
        <v>6585.87474747475</v>
      </c>
      <c r="E26" s="24" t="n">
        <f aca="false">($C$7/0.5)/550</f>
        <v>5927.28727272727</v>
      </c>
      <c r="F26" s="24" t="n">
        <f aca="false">($C$7/0.55)/550</f>
        <v>5388.44297520661</v>
      </c>
      <c r="G26" s="24" t="n">
        <f aca="false">($C$7/0.6)/550</f>
        <v>4939.40606060606</v>
      </c>
    </row>
    <row r="27" customFormat="false" ht="15" hidden="false" customHeight="true" outlineLevel="0" collapsed="false">
      <c r="A27" s="22" t="n">
        <v>600</v>
      </c>
      <c r="B27" s="24" t="n">
        <f aca="false">($C$7/0.35)/600</f>
        <v>7761.92380952381</v>
      </c>
      <c r="C27" s="24" t="n">
        <f aca="false">($C$7/0.4)/600</f>
        <v>6791.68333333333</v>
      </c>
      <c r="D27" s="24" t="n">
        <f aca="false">($C$7/0.45)/600</f>
        <v>6037.05185185185</v>
      </c>
      <c r="E27" s="24" t="n">
        <f aca="false">($C$7/0.5)/600</f>
        <v>5433.34666666667</v>
      </c>
      <c r="F27" s="24" t="n">
        <f aca="false">($C$7/0.55)/600</f>
        <v>4939.40606060606</v>
      </c>
      <c r="G27" s="24" t="n">
        <f aca="false">($C$7/0.6)/600</f>
        <v>4527.78888888889</v>
      </c>
    </row>
  </sheetData>
  <mergeCells count="3">
    <mergeCell ref="A1:E1"/>
    <mergeCell ref="A9:G9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6"/>
  </cols>
  <sheetData>
    <row r="1" customFormat="false" ht="25.5" hidden="false" customHeight="true" outlineLevel="0" collapsed="false">
      <c r="A1" s="2" t="s">
        <v>119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3" t="s">
        <v>120</v>
      </c>
    </row>
    <row r="5" customFormat="false" ht="15" hidden="false" customHeight="true" outlineLevel="0" collapsed="false">
      <c r="A5" s="4" t="s">
        <v>121</v>
      </c>
      <c r="B5" s="4"/>
      <c r="C5" s="4"/>
      <c r="D5" s="4"/>
      <c r="E5" s="4"/>
      <c r="F5" s="4"/>
      <c r="G5" s="4"/>
    </row>
    <row r="6" customFormat="false" ht="15" hidden="false" customHeight="true" outlineLevel="0" collapsed="false">
      <c r="A6" s="25" t="s">
        <v>3</v>
      </c>
      <c r="B6" s="25" t="s">
        <v>4</v>
      </c>
      <c r="C6" s="25" t="s">
        <v>5</v>
      </c>
      <c r="D6" s="25" t="s">
        <v>6</v>
      </c>
    </row>
    <row r="7" customFormat="false" ht="15" hidden="false" customHeight="true" outlineLevel="0" collapsed="false">
      <c r="A7" s="6" t="s">
        <v>122</v>
      </c>
      <c r="B7" s="7" t="n">
        <v>50</v>
      </c>
      <c r="C7" s="6" t="s">
        <v>123</v>
      </c>
      <c r="D7" s="3" t="s">
        <v>124</v>
      </c>
    </row>
    <row r="8" customFormat="false" ht="15" hidden="false" customHeight="true" outlineLevel="0" collapsed="false">
      <c r="A8" s="6" t="s">
        <v>125</v>
      </c>
      <c r="B8" s="7" t="n">
        <v>4</v>
      </c>
      <c r="C8" s="6" t="s">
        <v>126</v>
      </c>
      <c r="D8" s="3" t="s">
        <v>127</v>
      </c>
    </row>
    <row r="9" customFormat="false" ht="15" hidden="false" customHeight="true" outlineLevel="0" collapsed="false">
      <c r="A9" s="6" t="s">
        <v>128</v>
      </c>
      <c r="B9" s="7" t="n">
        <v>24</v>
      </c>
      <c r="C9" s="6" t="s">
        <v>129</v>
      </c>
      <c r="D9" s="3" t="s">
        <v>130</v>
      </c>
    </row>
    <row r="10" customFormat="false" ht="15" hidden="false" customHeight="true" outlineLevel="0" collapsed="false">
      <c r="A10" s="6" t="s">
        <v>131</v>
      </c>
      <c r="B10" s="26" t="n">
        <f aca="false">FLOOR((B8*60)/B7,1)</f>
        <v>4</v>
      </c>
    </row>
    <row r="12" customFormat="false" ht="15" hidden="false" customHeight="true" outlineLevel="0" collapsed="false">
      <c r="A12" s="4" t="s">
        <v>132</v>
      </c>
      <c r="B12" s="4"/>
      <c r="C12" s="4"/>
      <c r="D12" s="4"/>
      <c r="E12" s="4"/>
      <c r="F12" s="4"/>
      <c r="G12" s="4"/>
    </row>
    <row r="13" customFormat="false" ht="26.25" hidden="false" customHeight="true" outlineLevel="0" collapsed="false">
      <c r="A13" s="25" t="s">
        <v>133</v>
      </c>
      <c r="B13" s="25" t="s">
        <v>134</v>
      </c>
      <c r="C13" s="25" t="s">
        <v>135</v>
      </c>
      <c r="D13" s="25" t="s">
        <v>136</v>
      </c>
      <c r="E13" s="25" t="s">
        <v>137</v>
      </c>
      <c r="F13" s="25" t="s">
        <v>138</v>
      </c>
      <c r="G13" s="25" t="s">
        <v>139</v>
      </c>
    </row>
    <row r="14" customFormat="false" ht="15" hidden="false" customHeight="true" outlineLevel="0" collapsed="false">
      <c r="A14" s="27" t="n">
        <v>1</v>
      </c>
      <c r="B14" s="28" t="n">
        <f aca="false">$B$10</f>
        <v>4</v>
      </c>
      <c r="C14" s="29" t="n">
        <f aca="false">B14*A14*(1-Assumptions!$B$10)</f>
        <v>3.4</v>
      </c>
      <c r="D14" s="27" t="n">
        <f aca="false">C14*$B$9</f>
        <v>81.6</v>
      </c>
      <c r="E14" s="30" t="n">
        <f aca="false">D14*12</f>
        <v>979.2</v>
      </c>
      <c r="F14" s="31" t="n">
        <f aca="false">E14*1000/Assumptions!$B$7</f>
        <v>3916.8</v>
      </c>
      <c r="G14" s="13" t="n">
        <f aca="false">F14*Assumptions!$B$16</f>
        <v>1762560</v>
      </c>
    </row>
    <row r="15" customFormat="false" ht="15" hidden="false" customHeight="true" outlineLevel="0" collapsed="false">
      <c r="A15" s="32" t="n">
        <v>1.5</v>
      </c>
      <c r="B15" s="28" t="n">
        <f aca="false">$B$10</f>
        <v>4</v>
      </c>
      <c r="C15" s="29" t="n">
        <f aca="false">B15*A15*(1-Assumptions!$B$10)</f>
        <v>5.1</v>
      </c>
      <c r="D15" s="27" t="n">
        <f aca="false">C15*$B$9</f>
        <v>122.4</v>
      </c>
      <c r="E15" s="30" t="n">
        <f aca="false">D15*12</f>
        <v>1468.8</v>
      </c>
      <c r="F15" s="31" t="n">
        <f aca="false">E15*1000/Assumptions!$B$7</f>
        <v>5875.2</v>
      </c>
      <c r="G15" s="13" t="n">
        <f aca="false">F15*Assumptions!$B$16</f>
        <v>2643840</v>
      </c>
    </row>
    <row r="16" customFormat="false" ht="15" hidden="false" customHeight="true" outlineLevel="0" collapsed="false">
      <c r="A16" s="27" t="n">
        <v>2</v>
      </c>
      <c r="B16" s="28" t="n">
        <f aca="false">$B$10</f>
        <v>4</v>
      </c>
      <c r="C16" s="29" t="n">
        <f aca="false">B16*A16*(1-Assumptions!$B$10)</f>
        <v>6.8</v>
      </c>
      <c r="D16" s="27" t="n">
        <f aca="false">C16*$B$9</f>
        <v>163.2</v>
      </c>
      <c r="E16" s="30" t="n">
        <f aca="false">D16*12</f>
        <v>1958.4</v>
      </c>
      <c r="F16" s="31" t="n">
        <f aca="false">E16*1000/Assumptions!$B$7</f>
        <v>7833.6</v>
      </c>
      <c r="G16" s="13" t="n">
        <f aca="false">F16*Assumptions!$B$16</f>
        <v>3525120</v>
      </c>
    </row>
    <row r="17" customFormat="false" ht="15" hidden="false" customHeight="true" outlineLevel="0" collapsed="false">
      <c r="A17" s="27" t="n">
        <v>3</v>
      </c>
      <c r="B17" s="28" t="n">
        <f aca="false">$B$10</f>
        <v>4</v>
      </c>
      <c r="C17" s="29" t="n">
        <f aca="false">B17*A17*(1-Assumptions!$B$10)</f>
        <v>10.2</v>
      </c>
      <c r="D17" s="27" t="n">
        <f aca="false">C17*$B$9</f>
        <v>244.8</v>
      </c>
      <c r="E17" s="30" t="n">
        <f aca="false">D17*12</f>
        <v>2937.6</v>
      </c>
      <c r="F17" s="31" t="n">
        <f aca="false">E17*1000/Assumptions!$B$7</f>
        <v>11750.4</v>
      </c>
      <c r="G17" s="13" t="n">
        <f aca="false">F17*Assumptions!$B$16</f>
        <v>5287680</v>
      </c>
    </row>
    <row r="18" customFormat="false" ht="15" hidden="false" customHeight="true" outlineLevel="0" collapsed="false">
      <c r="A18" s="27" t="n">
        <v>5</v>
      </c>
      <c r="B18" s="28" t="n">
        <f aca="false">$B$10</f>
        <v>4</v>
      </c>
      <c r="C18" s="29" t="n">
        <f aca="false">B18*A18*(1-Assumptions!$B$10)</f>
        <v>17</v>
      </c>
      <c r="D18" s="27" t="n">
        <f aca="false">C18*$B$9</f>
        <v>408</v>
      </c>
      <c r="E18" s="30" t="n">
        <f aca="false">D18*12</f>
        <v>4896</v>
      </c>
      <c r="F18" s="31" t="n">
        <f aca="false">E18*1000/Assumptions!$B$7</f>
        <v>19584</v>
      </c>
      <c r="G18" s="13" t="n">
        <f aca="false">F18*Assumptions!$B$16</f>
        <v>8812800</v>
      </c>
    </row>
    <row r="19" customFormat="false" ht="15" hidden="false" customHeight="true" outlineLevel="0" collapsed="false">
      <c r="A19" s="27" t="n">
        <v>10</v>
      </c>
      <c r="B19" s="28" t="n">
        <f aca="false">$B$10</f>
        <v>4</v>
      </c>
      <c r="C19" s="29" t="n">
        <f aca="false">B19*A19*(1-Assumptions!$B$10)</f>
        <v>34</v>
      </c>
      <c r="D19" s="27" t="n">
        <f aca="false">C19*$B$9</f>
        <v>816</v>
      </c>
      <c r="E19" s="30" t="n">
        <f aca="false">D19*12</f>
        <v>9792</v>
      </c>
      <c r="F19" s="31" t="n">
        <f aca="false">E19*1000/Assumptions!$B$7</f>
        <v>39168</v>
      </c>
      <c r="G19" s="13" t="n">
        <f aca="false">F19*Assumptions!$B$16</f>
        <v>17625600</v>
      </c>
    </row>
    <row r="20" customFormat="false" ht="15" hidden="false" customHeight="true" outlineLevel="0" collapsed="false">
      <c r="A20" s="3" t="s">
        <v>140</v>
      </c>
    </row>
    <row r="22" customFormat="false" ht="15" hidden="false" customHeight="true" outlineLevel="0" collapsed="false">
      <c r="A22" s="4" t="s">
        <v>141</v>
      </c>
      <c r="B22" s="4"/>
      <c r="C22" s="4"/>
      <c r="D22" s="4"/>
      <c r="E22" s="4"/>
      <c r="F22" s="4"/>
      <c r="G22" s="4"/>
    </row>
    <row r="23" customFormat="false" ht="39" hidden="false" customHeight="true" outlineLevel="0" collapsed="false">
      <c r="A23" s="25" t="s">
        <v>142</v>
      </c>
      <c r="B23" s="25" t="s">
        <v>143</v>
      </c>
      <c r="C23" s="25" t="s">
        <v>144</v>
      </c>
    </row>
    <row r="24" customFormat="false" ht="15" hidden="false" customHeight="true" outlineLevel="0" collapsed="false">
      <c r="A24" s="6" t="s">
        <v>145</v>
      </c>
      <c r="B24" s="30" t="n">
        <f aca="false">Breakeven!B20</f>
        <v>2483.42606201828</v>
      </c>
    </row>
    <row r="25" customFormat="false" ht="15" hidden="false" customHeight="true" outlineLevel="0" collapsed="false">
      <c r="A25" s="6" t="s">
        <v>146</v>
      </c>
      <c r="B25" s="30" t="n">
        <f aca="false">B24*1.5</f>
        <v>3725.13909302742</v>
      </c>
    </row>
    <row r="26" customFormat="false" ht="15" hidden="false" customHeight="true" outlineLevel="0" collapsed="false">
      <c r="A26" s="6" t="s">
        <v>147</v>
      </c>
      <c r="B26" s="30" t="n">
        <f aca="false">B24*2</f>
        <v>4966.85212403657</v>
      </c>
    </row>
    <row r="28" customFormat="false" ht="15" hidden="false" customHeight="true" outlineLevel="0" collapsed="false">
      <c r="A28" s="3" t="s">
        <v>148</v>
      </c>
    </row>
  </sheetData>
  <mergeCells count="4">
    <mergeCell ref="A1:G1"/>
    <mergeCell ref="A5:G5"/>
    <mergeCell ref="A12:G12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6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4"/>
  </cols>
  <sheetData>
    <row r="1" customFormat="false" ht="25.5" hidden="false" customHeight="true" outlineLevel="0" collapsed="false">
      <c r="A1" s="2" t="s">
        <v>149</v>
      </c>
      <c r="B1" s="2"/>
      <c r="C1" s="2"/>
      <c r="D1" s="2"/>
      <c r="E1" s="2"/>
      <c r="F1" s="2"/>
    </row>
    <row r="3" customFormat="false" ht="147.75" hidden="false" customHeight="false" outlineLevel="0" collapsed="false">
      <c r="A3" s="33" t="s">
        <v>150</v>
      </c>
    </row>
    <row r="5" customFormat="false" ht="15" hidden="false" customHeight="false" outlineLevel="0" collapsed="false">
      <c r="A5" s="34" t="s">
        <v>151</v>
      </c>
      <c r="B5" s="34"/>
      <c r="C5" s="34"/>
      <c r="D5" s="34"/>
      <c r="E5" s="34"/>
      <c r="F5" s="34"/>
    </row>
    <row r="6" customFormat="false" ht="15" hidden="false" customHeight="false" outlineLevel="0" collapsed="false">
      <c r="A6" s="25" t="s">
        <v>152</v>
      </c>
      <c r="B6" s="25" t="s">
        <v>153</v>
      </c>
      <c r="C6" s="25" t="s">
        <v>154</v>
      </c>
      <c r="D6" s="25" t="s">
        <v>155</v>
      </c>
      <c r="E6" s="25" t="s">
        <v>156</v>
      </c>
    </row>
    <row r="7" customFormat="false" ht="42" hidden="false" customHeight="true" outlineLevel="0" collapsed="false">
      <c r="A7" s="35" t="s">
        <v>157</v>
      </c>
      <c r="B7" s="36" t="n">
        <v>62000</v>
      </c>
      <c r="C7" s="36" t="n">
        <v>100000</v>
      </c>
      <c r="D7" s="37" t="s">
        <v>158</v>
      </c>
      <c r="E7" s="38" t="s">
        <v>159</v>
      </c>
    </row>
    <row r="8" customFormat="false" ht="42" hidden="false" customHeight="true" outlineLevel="0" collapsed="false">
      <c r="A8" s="35" t="s">
        <v>160</v>
      </c>
      <c r="B8" s="36" t="n">
        <v>400000</v>
      </c>
      <c r="C8" s="36" t="n">
        <v>470000</v>
      </c>
      <c r="D8" s="37" t="s">
        <v>161</v>
      </c>
      <c r="E8" s="38" t="s">
        <v>162</v>
      </c>
    </row>
    <row r="9" customFormat="false" ht="42" hidden="false" customHeight="true" outlineLevel="0" collapsed="false">
      <c r="A9" s="35" t="s">
        <v>163</v>
      </c>
      <c r="B9" s="36" t="n">
        <v>200000</v>
      </c>
      <c r="C9" s="36" t="n">
        <v>300000</v>
      </c>
      <c r="D9" s="37" t="s">
        <v>164</v>
      </c>
      <c r="E9" s="38" t="s">
        <v>165</v>
      </c>
    </row>
    <row r="10" customFormat="false" ht="42" hidden="false" customHeight="true" outlineLevel="0" collapsed="false">
      <c r="A10" s="35" t="s">
        <v>166</v>
      </c>
      <c r="B10" s="36" t="n">
        <v>250000</v>
      </c>
      <c r="C10" s="36" t="n">
        <v>600000</v>
      </c>
      <c r="D10" s="37" t="s">
        <v>167</v>
      </c>
      <c r="E10" s="38" t="s">
        <v>168</v>
      </c>
    </row>
    <row r="11" customFormat="false" ht="42" hidden="false" customHeight="true" outlineLevel="0" collapsed="false">
      <c r="A11" s="35" t="s">
        <v>169</v>
      </c>
      <c r="B11" s="36" t="n">
        <v>215000</v>
      </c>
      <c r="C11" s="36" t="n">
        <v>743000</v>
      </c>
      <c r="D11" s="37" t="s">
        <v>170</v>
      </c>
      <c r="E11" s="38" t="s">
        <v>171</v>
      </c>
    </row>
    <row r="12" customFormat="false" ht="42" hidden="false" customHeight="true" outlineLevel="0" collapsed="false">
      <c r="A12" s="35" t="s">
        <v>172</v>
      </c>
      <c r="B12" s="36" t="n">
        <v>195000</v>
      </c>
      <c r="C12" s="36" t="n">
        <v>960000</v>
      </c>
      <c r="D12" s="37" t="s">
        <v>173</v>
      </c>
      <c r="E12" s="38" t="s">
        <v>174</v>
      </c>
    </row>
    <row r="14" customFormat="false" ht="15" hidden="false" customHeight="false" outlineLevel="0" collapsed="false">
      <c r="A14" s="34" t="s">
        <v>175</v>
      </c>
      <c r="B14" s="34"/>
      <c r="C14" s="34"/>
      <c r="D14" s="34"/>
      <c r="E14" s="34"/>
      <c r="F14" s="34"/>
    </row>
    <row r="15" customFormat="false" ht="90" hidden="false" customHeight="true" outlineLevel="0" collapsed="false">
      <c r="A15" s="39" t="s">
        <v>176</v>
      </c>
      <c r="B15" s="39"/>
      <c r="C15" s="39"/>
      <c r="D15" s="39"/>
      <c r="E15" s="39"/>
    </row>
  </sheetData>
  <mergeCells count="4">
    <mergeCell ref="A1:F1"/>
    <mergeCell ref="A5:F5"/>
    <mergeCell ref="A14:F14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2026-08-14T14:01:57Z</dcterms:created>
  <dc:creator>openpyxl</dc:creator>
  <dc:description/>
  <dc:language>en-US</dc:language>
  <cp:lastModifiedBy/>
  <dcterms:modified xsi:type="dcterms:W3CDTF">2026-08-14T14:46:36Z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